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编程开发\开源项目\多维表分析软件\测试数据\"/>
    </mc:Choice>
  </mc:AlternateContent>
  <xr:revisionPtr revIDLastSave="0" documentId="13_ncr:1_{0F4850D1-FE60-4131-996E-F80B9BB086EE}" xr6:coauthVersionLast="47" xr6:coauthVersionMax="47" xr10:uidLastSave="{00000000-0000-0000-0000-000000000000}"/>
  <bookViews>
    <workbookView xWindow="-75" yWindow="-75" windowWidth="38550" windowHeight="21030" firstSheet="1" activeTab="1" xr2:uid="{BB8392A7-692B-4233-97AF-19918188286E}"/>
  </bookViews>
  <sheets>
    <sheet name="_MultiTableConfig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</calcChain>
</file>

<file path=xl/sharedStrings.xml><?xml version="1.0" encoding="utf-8"?>
<sst xmlns="http://schemas.openxmlformats.org/spreadsheetml/2006/main" count="276" uniqueCount="137">
  <si>
    <t>编号</t>
  </si>
  <si>
    <t>姓名</t>
  </si>
  <si>
    <t>部门</t>
  </si>
  <si>
    <t>销售额</t>
  </si>
  <si>
    <t>工龄</t>
  </si>
  <si>
    <t>户籍地区</t>
  </si>
  <si>
    <t>性别</t>
  </si>
  <si>
    <t>手机号码</t>
    <phoneticPr fontId="1" type="noConversion"/>
  </si>
  <si>
    <t>学历</t>
  </si>
  <si>
    <t>职级</t>
  </si>
  <si>
    <t>岗位序列</t>
  </si>
  <si>
    <t>直属上级</t>
  </si>
  <si>
    <t>尤娣妍</t>
  </si>
  <si>
    <t>业务部</t>
  </si>
  <si>
    <t>福建省</t>
  </si>
  <si>
    <t>男</t>
  </si>
  <si>
    <t>本科</t>
  </si>
  <si>
    <t>P7</t>
  </si>
  <si>
    <t>研发</t>
  </si>
  <si>
    <t>李哲（研发总监）</t>
  </si>
  <si>
    <t>A002</t>
  </si>
  <si>
    <t>施青桂</t>
  </si>
  <si>
    <t>客服部</t>
  </si>
  <si>
    <t>黑龙江省</t>
  </si>
  <si>
    <t>女</t>
  </si>
  <si>
    <t>硕士</t>
  </si>
  <si>
    <t>P6</t>
  </si>
  <si>
    <t>产品</t>
  </si>
  <si>
    <t>赵阳（产品总监）</t>
  </si>
  <si>
    <t>A003</t>
  </si>
  <si>
    <t>孙琼康</t>
  </si>
  <si>
    <t>工程部</t>
  </si>
  <si>
    <t>广东省</t>
  </si>
  <si>
    <t>博士</t>
  </si>
  <si>
    <t>M3</t>
  </si>
  <si>
    <t>销售</t>
  </si>
  <si>
    <t>陈杰（销售总监）</t>
  </si>
  <si>
    <t>A004</t>
  </si>
  <si>
    <t>赵方珊</t>
  </si>
  <si>
    <t>采购部</t>
  </si>
  <si>
    <t>海南省</t>
  </si>
  <si>
    <t>P5</t>
  </si>
  <si>
    <t>运营</t>
  </si>
  <si>
    <t>孙悦（运营总监）</t>
  </si>
  <si>
    <t>A005</t>
  </si>
  <si>
    <t>何红红</t>
  </si>
  <si>
    <t>包装部</t>
  </si>
  <si>
    <t>M4</t>
  </si>
  <si>
    <t>张总（CTO）</t>
  </si>
  <si>
    <t>A006</t>
  </si>
  <si>
    <t>郑姚嘉</t>
  </si>
  <si>
    <t>售后部</t>
  </si>
  <si>
    <t>青海省</t>
  </si>
  <si>
    <t>专科</t>
  </si>
  <si>
    <t>职能</t>
  </si>
  <si>
    <t>周敏（HR 经理）</t>
  </si>
  <si>
    <t>A007</t>
  </si>
  <si>
    <t>钱红晶</t>
  </si>
  <si>
    <t>宁夏</t>
  </si>
  <si>
    <t>刘伟（销售经理）</t>
  </si>
  <si>
    <t>A008</t>
  </si>
  <si>
    <t>沈康青</t>
  </si>
  <si>
    <t>吉林省</t>
  </si>
  <si>
    <t>P4</t>
  </si>
  <si>
    <t>李娜（产品经理）</t>
  </si>
  <si>
    <t>A009</t>
  </si>
  <si>
    <t>周莎嘉</t>
  </si>
  <si>
    <t>张明（高级后端开发）</t>
  </si>
  <si>
    <t>A010</t>
  </si>
  <si>
    <t>周娅婉</t>
  </si>
  <si>
    <t>甘肃省</t>
  </si>
  <si>
    <t>其他</t>
  </si>
  <si>
    <t>张总（COO）</t>
  </si>
  <si>
    <t>A011</t>
  </si>
  <si>
    <t>严娅红</t>
  </si>
  <si>
    <t>吴昊（高级销售代表）</t>
  </si>
  <si>
    <t>A012</t>
  </si>
  <si>
    <t>张娣嘉</t>
  </si>
  <si>
    <t>调研部</t>
  </si>
  <si>
    <t>韩雪（财务经理）</t>
  </si>
  <si>
    <t>A013</t>
  </si>
  <si>
    <t>许莎路</t>
  </si>
  <si>
    <t>辽宁省</t>
  </si>
  <si>
    <t>赵刚（研发总监）</t>
  </si>
  <si>
    <t>A014</t>
  </si>
  <si>
    <t>钱珊塘</t>
  </si>
  <si>
    <t>生产部</t>
  </si>
  <si>
    <t>河北省</t>
  </si>
  <si>
    <t>A015</t>
  </si>
  <si>
    <t>金婉青</t>
  </si>
  <si>
    <t>M5</t>
  </si>
  <si>
    <t>A016</t>
  </si>
  <si>
    <t>严茜姣</t>
  </si>
  <si>
    <t>湖北省</t>
  </si>
  <si>
    <t>A017</t>
  </si>
  <si>
    <t>孔红康</t>
  </si>
  <si>
    <t>安徽省</t>
  </si>
  <si>
    <t>A018</t>
  </si>
  <si>
    <t>冯路妍</t>
  </si>
  <si>
    <t>江苏省</t>
  </si>
  <si>
    <t>张总（CHO）</t>
  </si>
  <si>
    <t>A019</t>
  </si>
  <si>
    <t>沈桂妍</t>
  </si>
  <si>
    <t>朱琳（会计）</t>
  </si>
  <si>
    <t>A020</t>
  </si>
  <si>
    <t>赵红娅</t>
  </si>
  <si>
    <t>湖南省</t>
  </si>
  <si>
    <t>冯丽（运营总监）</t>
  </si>
  <si>
    <t>A021</t>
  </si>
  <si>
    <t>蒋桂娣</t>
  </si>
  <si>
    <t>A022</t>
  </si>
  <si>
    <t>韩秋晶</t>
  </si>
  <si>
    <t>贵州省</t>
  </si>
  <si>
    <t>A023</t>
  </si>
  <si>
    <t>施璐茜</t>
  </si>
  <si>
    <t>内蒙古</t>
  </si>
  <si>
    <t>A024</t>
  </si>
  <si>
    <t>沈姚嘉</t>
  </si>
  <si>
    <t>河南省</t>
  </si>
  <si>
    <t>A025</t>
  </si>
  <si>
    <t>沈琼潭</t>
  </si>
  <si>
    <t>A026</t>
  </si>
  <si>
    <t>韩姣黛</t>
  </si>
  <si>
    <t>陕西省</t>
  </si>
  <si>
    <t>A027</t>
  </si>
  <si>
    <t>李娴妍</t>
  </si>
  <si>
    <t>A028</t>
  </si>
  <si>
    <t>韩琦嘉</t>
  </si>
  <si>
    <t>郑姣康</t>
  </si>
  <si>
    <t>调研部</t>
    <phoneticPr fontId="1" type="noConversion"/>
  </si>
  <si>
    <t>包装部</t>
    <phoneticPr fontId="1" type="noConversion"/>
  </si>
  <si>
    <t>采购部</t>
    <phoneticPr fontId="1" type="noConversion"/>
  </si>
  <si>
    <t>计划日期</t>
    <phoneticPr fontId="1" type="noConversion"/>
  </si>
  <si>
    <t>开始日期</t>
    <phoneticPr fontId="1" type="noConversion"/>
  </si>
  <si>
    <t>{_x000D_
  "Version": "2.0",_x000D_
  "GeneratedBy": "MultiTableAddin 2.9.42",_x000D_
  "SourceFile": "多维表通用测试数据.xlsx",_x000D_
  "LastTableName": "表1",_x000D_
  "Tables": {_x000D_
    "表1": {_x000D_
      "Version": "2.0",_x000D_
      "GeneratedBy": "MultiTableAddin 2.9.42",_x000D_
      "SourceFile": "多维表通用测试数据.xlsx",_x000D_
      "SourceSheet": "Sheet1",_x000D_
      "TableName": "表1",_x000D_
      "Fields": [_x000D_
        {_x000D_
          "Name": "编号",_x000D_
          "Type": "Text",_x000D_
          "Options": [],_x000D_
          "NumberFormat": "General",_x000D_
          "ColumnIndex": 1_x000D_
        },_x000D_
        {_x000D_
          "Name": "姓名",_x000D_
          "Type": "Text",_x000D_
          "Options": [],_x000D_
          "NumberFormat": "General",_x000D_
          "ColumnIndex": 2_x000D_
        },_x000D_
        {_x000D_
          "Name": "部门",_x000D_
          "Type": "Select",_x000D_
          "Options": [_x000D_
            "工程部",_x000D_
            "包装部",_x000D_
            "生产部",_x000D_
            "销售部",_x000D_
            "技术部",_x000D_
            "财务部",_x000D_
            "采购部",_x000D_
            "行政部",_x000D_
            "品质部"_x000D_
          ],_x000D_
          "NumberFormat": "General",_x000D_
          "ColumnIndex": 3_x000D_
        },_x000D_
        {_x000D_
          "Name": "销售额",_x000D_
          "Type": "Currency",_x000D_
          "Options": [],_x000D_
          "NumberFormat": "$#,##0.00\"万\";$-#,##0.00",_x000D_
          "ColumnIndex": 4_x000D_
        },_x000D_
        {_x000D_
          "Name": "工龄",_x000D_
          "Type": "Integer",_x000D_
          "Options": [],_x000D_
          "NumberFormat": "0\"年\"",_x000D_
          "ColumnIndex": 5_x000D_
        },_x000D_
        {_x000D_
          "Name": "户籍地区",_x000D_
          "Type": "Text",_x000D_
          "Options": [],_x000D_
          "NumberFormat": "General",_x000D_
          "ColumnIndex": 6_x000D_
        },_x000D_
        {_x000D_
          "Name": "性别",_x000D_
          "Type": "Select",_x000D_
          "Options": [_x000D_
            "男",_x000D_
            "女"_x000D_
          ],_x000D_
          "NumberFormat": "General",_x000D_
          "ColumnIndex": 7_x000D_
        },_x000D_
        {_x000D_
          "Name": "手机号码",_x000D_
          "Type": "Phone",_x000D_
          "Options": [],_x000D_
          "NumberFormat": "General",_x000D_
          "ColumnIndex": 8_x000D_
        },_x000D_
        {_x000D_
          "Name": "学历",_x000D_
          "Type": "Select",_x000D_
          "Options": [_x000D_
            "本科",_x000D_
            "硕士",_x000D_
            "博士",_x000D_
            "专科",_x000D_
            "其他"_x000D_
          ],_x000D_
          "NumberFormat": "General",_x000D_
          "ColumnIndex": 9_x000D_
        },_x000D_
        {_x000D_
          "Name": "职级",_x000D_
          "Type": "Select",_x000D_
          "Options": [_x000D_
            "P7",_x000D_
            "P6",_x000D_
            "M3",_x000D_
            "P5",_x000D_
            "M4",_x000D_
            "P4",_x000D_
            "M5"_x000D_
          ],_x000D_
          "NumberFormat": "General",_x000D_
          "ColumnIndex": 10_x000D_
        },_x000D_
        {_x000D_
          "Name": "岗位序列",_x000D_
          "Type": "Select",_x000D_
          "Options": [_x000D_
            "研发",_x000D_
            "产品",_x000D_
            "销售",_x000D_
            "运营",_x000D_
            "职能"_x000D_
          ],_x000D_
          "NumberFormat": "General",_x000D_
          "ColumnIndex": 11_x000D_
        },_x000D_
        {_x000D_
          "Name": "直属上级",_x000D_
          "Type": "Text",_x000D_
          "Options": [],_x000D_
          "NumberFormat": "General",_x000D_
          "ColumnIndex": 12_x000D_
        },_x000D_
        {_x000D_
          "Name": "计划日期",_x000D_
          "Type": "Date",_x000D_
          "Options": [],_x000D_
          "NumberFormat": "m/d/yyyy",_x000D_
          "ColumnIndex": 13_x000D_
        },_x000D_
        {_x000D_
          "Name": "开始日期",_x000D_
          "Type": "Date",_x000D_
          "Options": [],_x000D_
          "NumberFormat": "m/d/yyyy",_x000D_
          "ColumnIndex": 14_x000D_
        }_x000D_
      ],_x000D_
      "FieldOverrides": [],_x000D_
      "NumericLinks": [],_x000D_
      "Views": [_x000D_
        {_x000D_
          "ViewId": "table_5c49b0a3",_x000D_
          "ViewType": "Table",_x000D_
          "ViewName": "表格视图",_x000D_
          "Filter": "",_x000D_
          "GroupBy": "",_x000D_
          "Sort": [],_x000D_
          "VisibleFields": [_x000D_
            "编号",_x000D_
            "姓名",_x000D_
            "部门",_x000D_
            "销售额",_x000D_
            "工龄",_x000D_
            "户籍地区",_x000D_
            "性别",_x000D_
            "手机号码",_x000D_
            "学历",_x000D_
            "职级",_x000D_
            "岗位序列",_x000D_
            "直属上级",_x000D_
            "计划日期",_x000D_
            "开始日期"_x000D_
          ],_x000D_
          "TableConfig": {_x000D_
            "ShowRowNumber": true,_x000D_
            "MinColumnWidth": 70,_x000D_
            "MaxColumnWidth": 260,_x000D_
            "WidthSampleRows": 200_x000D_
          },_x000D_
          "Summary": {},_x000D_
          "ShowSummary": false,_x000D_
          "SummaryPosition": "DataEnd",_x000D_
          "UserView": false_x000D_
        },_x000D_
        {_x000D_
          "ViewId": "form_943c25ca",_x000D_
          "ViewType": "Form",_x000D_
          "ViewName": "表单视图",_x000D_
          "Filter": "",_x000D_
          "GroupBy": "",_x000D_
          "Sort": [],_x000D_
          "VisibleFields": [_x000D_
            "编号",_x000D_
            "姓名",_x000D_
            "部门",_x000D_
            "销售额",_x000D_
            "工龄",_x000D_
            "户籍地区",_x000D_
            "性别",_x000D_
            "手机号码",_x000D_
            "学历",_x000D_
            "职级",_x000D_
            "岗位序列",_x000D_
            "直属上级",_x000D_
            "计划日期",_x000D_
            "开始日期"_x000D_
          ],_x000D_
          "Summary": {},_x000D_
          "ShowSummary": false,_x000D_
          "SummaryPosition": "DataEnd",_x000D_
          "UserView": false_x000D_
        },_x000D_
        {_x000D_
          "ViewId": "gallery_d60e5fcf",_x000D_
          "ViewType": "Gallery",_x000D_
          "ViewName": "画册视图",_x000D_
          "Filter": "",_x000D_
          "GroupBy": "",_x000D_
          "Sort": [_x000D_
            {_x000D_
              "Field": "姓名",_x000D_
              "Order": "desc"_x000D_
            }_x000D_
          ],_x000D_
          "VisibleFields": [_x000D_
            "编号",_x000D_
            "姓名",_x000D_
            "部门",_x000D_
            "销售额",_x000D_
            "工龄",_x000D_
            "户籍地区",_x000D_
            "性别",_x000D_
            "手机号码",_x000D_
            "学历",_x000D_
            "职级",_x000D_
            "岗位序列",_x000D_
            "直属上级",_x000D_
            "计划日期",_x000D_
            "开始日期"_x000D_
          ],_x000D_
          "CardMeta": {_x000D_
            "Title": "姓名",_x000D_
            "Image": "",_x000D_
            "Description": [],_x000D_
            "ColorField": "",_x000D_
            "ImageFolder": "D:\\编程开发\\开源项目\\多维表分析软件\\测试数据\\测试图片",_x000D_
            "ImageMatchField": "编号",_x000D_
            "ImageShape": "circle"_x000D_
          },_x000D_
          "Summary": {},_x000D_
          "ShowSummary": false,_x000D_
          "SummaryPosition": "DataEnd",_x000D_
          "UserView": false_x000D_
        },_x000D_
        {_x000D_
          "ViewId": "calendar_250f3018",_x000D_
          "ViewType": "Calendar",_x000D_
          "ViewName": "日历视图",_x000D_
          "Filter": "",_x000D_
          "GroupBy": "",_x000D_
          "Sort": [],_x000D_
          "VisibleFields": [_x000D_
            "编号",_x000D_
            "姓名",_x000D_
            "部门",_x000D_
            "销售额",_x000D_
            "工龄",_x000D_
            "户籍地区",_x000D_
            "性别",_x000D_
            "手机号码",_x000D_
            "学历",_x000D_
            "职级",_x000D_
            "岗位序列",_x000D_
            "直属上级",_x000D_
            "计划日期",_x000D_
            "开始日期"_x000D_
          ],_x000D_
          "CalendarConfig": {_x000D_
            "DateField": "开始日期",_x000D_
            "EndDateField": "",_x000D_
            "TitleField": "编号",_x000D_
            "ColorField": "",_x000D_
            "SnapMinutes": 15_x000D_
          },_x000D_
          "Summary": {},_x000D_
          "ShowSummary": false,_x000D_
          "SummaryPosition": "DataEnd",_x000D_
          "UserView": false_x000D_
        },_x000D_
        {_x000D_
          "ViewId": "dashboard_aa9a092a",_x000D_
          "ViewType": "Dashboard",_x000D_
          "ViewName": "仪表盘",_x000D_
          "Filter": "",_x000D_
          "GroupBy": "",_x000D_
          "Sort": [],_x000D_
          "VisibleFields": [_x000D_
            "编号",_x000D_
            "姓名",_x000D_
            "部门",_x000D_
            "销售额",_x000D_
            "工龄",_x000D_
            "户籍地区",_x000D_
            "性别",_x000D_
            "手机号码",_x000D_
            "学历",_x000D_
            "职级",_x000D_
            "岗位序列",_x000D_
            "直属上级",_x000D_
            "计划日期",_x000D_
            "开始日期"_x000D_
          ],_x000D_
          "DashboardConfig": {_x000D_
            "StatCards": [_x000D_
              {_x000D_
                "Id": "kpi_cbeb8954",_x000D_
                "Title": "记录总数",_x000D_
                "Field": "编号",_x000D_
                "Aggregation": "Count",_x000D_
                "Filter": "",_x000D_
                "Format": "int",_x000D_
                "Color": "#4E7CF6"_x000D_
              },_x000D_
              {_x000D_
                "Id": "kpi_03b2b951",_x000D_
                "Title": "销售额合计",_x000D_
                "Field": "销售额",_x000D_
                "Aggregation": "Sum",_x000D_
                "Filter": "",_x000D_
                "Format": "money",_x000D_
                "Color": "#F2994A"_x000D_
              },_x000D_
              {_x000D_
                "Id": "kpi_ac547672",_x000D_
                "Title": "销售额均值",_x000D_
                "Field": "销售额",_x000D_
                "Aggregation": "Average",_x000D_
                "Filter": "",_x000D_
                "Format": "money",_x000D_
                "Color": "#27AE60"_x000D_
              },_x000D_
              {_x000D_
                "Id": "kpi_654f6cd6",_x000D_
                "Title": "工龄合计",_x000D_
                "Field": "工龄",_x000D_
                "Aggregation": "Sum",_x000D_
                "Filter": "",_x000D_
                "Format": "int",_x000D_
                "Color": "#9B51E0"_x000D_
              }_x000D_
            ],_x000D_
            "Charts": [_x000D_
              {_x000D_
                "Id": "chart_f2d028f1",_x000D_
                "Title": "编号 · 销售额合计",_x000D_
                "Type": "Column",_x000D_
                "DimensionField": "编号",_x000D_
                "MetricField": "销售额",_x000D_
                "Aggregation": "Sum",_x000D_
                "TimeField": "",_x000D_
                "TimeGroup": "None",_x000D_
                "SeriesField": "",_x000D_
                "TopN": 12,_x000D_
                "GaugeTarget": 100,_x000D_
                "ColumnSpan": 1,_x000D_
                "Height": 260,_x000D_
                "MinLabelValue": 0_x000D_
              },_x000D_
              {_x000D_
                "Id": "chart_9d848f64",_x000D_
                "Title": "趋势 · 按月",_x000D_
                "Type": "Line",_x000D_
                "DimensionField": "",_x000D_
                "MetricField": "销售额",_x000D_
                "Aggregation": "Sum",_x000D_
                "TimeField": "",_x000D_
                "TimeGroup": "None",_x000D_
                "SeriesField": "",_x000D_
                "TopN": 12,_x000D_
                "GaugeTarget": 100,_x000D_
                "ColumnSpan": 1,_x000D_
                "Height": 260,_x000D_
                "MinLabelValue": 0_x000D_
              },_x000D_
              {_x000D_
                "Id": "chart_b18aa143",_x000D_
                "Title": "季度对比",_x000D_
                "Type": "Column",_x000D_
                "DimensionField": "",_x000D_
                "MetricField": "销售额",_x000D_
                "Aggregation": "Sum",_x000D_
                "TimeField": "",_x000D_
                "TimeGroup": "None",_x000D_
                "SeriesField": "",_x000D_
                "TopN": 12,_x000D_
                "GaugeTarget": 100,_x000D_
                "ColumnSpan": 1,_x000D_
                "Height": 260,_x000D_
                "MinLabelValue": 0_x000D_
              },_x000D_
              {_x000D_
                "Id": "chart_4b70aed4",_x000D_
                "Title": "姓名占比",_x000D_
                "Type": "Doughnut",_x000D_
                "DimensionField": "姓名",_x000D_
                "MetricField": "销售额",_x000D_
                "Aggregation": "Sum",_x000D_
                "TimeField": "",_x000D_
                "TimeGroup": "None",_x000D_
                "SeriesField": "",_x000D_
                "TopN": 8,_x000D_
                "GaugeTarget": 100,_x000D_
                "ColumnSpan": 1,_x000D_
                "Height": 260,_x000D_
                "MinLabelValue": 0_x000D_
              }_x000D_
            ],_x000D_
            "Columns": 2_x000D_
          },_x000D_
          "Summary": {},_x000D_
          "ShowSummary": false,_x000D_
          "SummaryPosition": "DataEnd",_x000D_
          "UserView": false_x000D_
        },_x000D_
        {_x000D_
          "ViewId": "chart_cf63d5ac",_x000D_
          "ViewType": "Chart",_x000D_
          "ViewName": "统计图表",_x000D_
          "Filter": "",_x000D_
          "GroupBy": "",_x000D_
          "Sort": [],_x000D_
          "VisibleFields": [_x000D_
            "编号",_x000D_
            "姓名",_x000D_
            "部门",_x000D_
            "销售额",_x000D_
            "工龄",_x000D_
            "户籍地区",_x000D_
            "性别",_x000D_
            "手机号码",_x000D_
            "学历",_x000D_
            "职级",_x000D_
            "岗位序列",_x000D_
            "直属上级",_x000D_
            "计划日期",_x000D_
            "开始日期"_x000D_
          ],_x000D_
          "ChartConfig": {_x000D_
            "Id": "chart_e970b94f",_x000D_
            "Title": "季度统计",_x000D_
            "Type": "Column",_x000D_
            "DimensionField": "",_x000D_
            "MetricField": "销售额",_x000D_
            "Aggregation": "Sum",_x000D_
            "TimeField": "",_x000D_
            "TimeGroup": "None",_x000D_
            "SeriesField": "",_x000D_
            "TopN": 12,_x000D_
            "GaugeTarget": 100,_x000D_
            "ColumnSpan": 1,_x000D_
            "Height": 420,_x000D_
            "MinLabelValue": 0_x000D_
          },_x000D_
          "Summary": {},_x000D_
          "ShowSummary": false,_x000D_
          "SummaryPosition": "DataEnd",_x000D_
          "UserView": false_x000D_
        },_x000D_
        {_x000D_
          "ViewId": "view_7e1acec0",_x000D_
          "ViewType": "Gantt",_x000D_
          "ViewName": "甘特视图",_x000D_
          "Filter": "",_x000D_
          "GroupBy": "",_x000D_
          "Sort": [],_x000D_
          "VisibleFields": [_x000D_
            "部门",_x000D_
            "姓名"_x000D_
          ],_x000D_
          "GanttConfig": {_x000D_
            "StartField": "计划日期",_x000D_
            "EndField": "计划日期",_x000D_
            "LabelField": "编号",_x000D_
            "GroupField": "部门",_x000D_
            "ProgressField": "",_x000D_
            "ColorField": "",_x000D_
            "TimeDimension": "Day",_x000D_
            "DisplayFields": [_x000D_
              "编号",_x000D_
              "姓名",_x000D_
              "部门"_x000D_
            ]_x000D_
          },_x000D_
          "Summary": {},_x000D_
          "ShowSummary": false,_x000D_
          "SummaryPosition": "DataEnd",_x000D_
          "UserView": false_x000D_
        }_x000D_
      ]_x000D_
    }_x000D_
  },_x000D_
  "Order": [_x000D_
    "表1"_x000D_
  ]_x000D_
}</t>
  </si>
  <si>
    <t>A001</t>
    <phoneticPr fontId="1" type="noConversion"/>
  </si>
  <si>
    <t>A029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</si>
</sst>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&quot;万&quot;;&quot;¥&quot;\-#,##0.00"/>
    <numFmt numFmtId="177" formatCode="0&quot;年&quot;"/>
  </numFmts>
  <fonts count="4" x14ac:knownFonts="1">
    <font>
      <sz val="11"/>
      <color theme="1"/>
      <name val="等线"/>
      <family val="2"/>
      <charset val="134"/>
    </font>
    <font>
      <sz val="9"/>
      <name val="等线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49" fontId="3" fillId="0" borderId="0" xfId="1" applyNumberFormat="1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常规 2" xfId="1" xr:uid="{56B7DE50-CEF3-4333-A5B3-0C2F9879E04A}"/>
  </cellStyles>
  <dxfs count="3">
    <dxf>
      <numFmt numFmtId="178" formatCode="m/d/yyyy"/>
    </dxf>
    <dxf>
      <numFmt numFmtId="177" formatCode="0&quot;年&quot;"/>
    </dxf>
    <dxf>
      <numFmt numFmtId="176" formatCode="&quot;¥&quot;#,##0.00&quot;万&quot;;&quot;¥&quot;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BEC74-EB73-4715-91E3-F737E6002EF8}" name="表1" displayName="表1" ref="A1:N30" totalsRowShown="0">
  <autoFilter ref="A1:N30" xr:uid="{0D085184-1BD7-4513-AD4B-97E6495727FA}"/>
  <tableColumns count="14">
    <tableColumn id="1" xr3:uid="{3588E970-7FA3-4C2D-80EA-E5B8FC895436}" name="编号"/>
    <tableColumn id="2" xr3:uid="{65322087-BF5A-4067-B228-439FEB4B284F}" name="姓名"/>
    <tableColumn id="3" xr3:uid="{A18A1A03-8483-4A93-BF58-7FC48FFD2BCE}" name="部门"/>
    <tableColumn id="4" xr3:uid="{FA211699-5308-4346-B421-EA7E438D6F27}" name="销售额" dataDxfId="2"/>
    <tableColumn id="5" xr3:uid="{DEA83CA0-B8FC-4A0D-9DBD-017AB8A0B1B3}" name="工龄" dataDxfId="1"/>
    <tableColumn id="6" xr3:uid="{3C93CEE6-393B-4C5C-8F04-83054F12CA65}" name="户籍地区"/>
    <tableColumn id="7" xr3:uid="{EAAB4C73-0F5D-4C9F-816F-EB91136FE2FB}" name="性别"/>
    <tableColumn id="8" xr3:uid="{86F2003D-A7EF-45DE-B891-2F53D4FAE46D}" name="手机号码"/>
    <tableColumn id="9" xr3:uid="{1D8FF2CC-92FC-46E5-8B17-99F308764329}" name="学历"/>
    <tableColumn id="10" xr3:uid="{71D2DC94-A98E-441C-81DC-B02E57E03038}" name="职级"/>
    <tableColumn id="11" xr3:uid="{5C9060F7-2B86-4009-940B-FCB02E2B5E4B}" name="岗位序列"/>
    <tableColumn id="12" xr3:uid="{2F26CCF2-D3FC-4E76-B63D-256FA8302239}" name="直属上级"/>
    <tableColumn id="13" xr3:uid="{1035F99F-43FF-478C-8159-5C44F49FB7B7}" name="计划日期"/>
    <tableColumn id="14" xr3:uid="{E258DEF9-BC97-4A48-9031-F2BC35B76018}" name="开始日期" dataDxfId="0">
      <calculatedColumnFormula>表1[[#This Row],[计划日期]]-5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5F64-C749-4197-9CC3-947E9340D686}">
  <dimension ref="A1"/>
  <sheetViews>
    <sheetView workbookViewId="0"/>
  </sheetViews>
  <sheetFormatPr defaultRowHeight="14.25" x14ac:dyDescent="0.2"/>
  <sheetData>
    <row r="1" spans="1:1" ht="409.5" x14ac:dyDescent="0.2">
      <c r="A1" s="5" t="s">
        <v>134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2863-0A06-42A2-8735-A549C7F0EF06}">
  <sheetPr codeName="Sheet1"/>
  <dimension ref="A1:N30"/>
  <sheetViews>
    <sheetView showGridLines="0" tabSelected="1" zoomScale="145" zoomScaleNormal="145" workbookViewId="0">
      <pane ySplit="1" topLeftCell="A2" activePane="bottomLeft" state="frozen"/>
      <selection pane="bottomLeft" activeCell="G6" sqref="G6"/>
    </sheetView>
  </sheetViews>
  <sheetFormatPr defaultRowHeight="14.25" x14ac:dyDescent="0.2"/>
  <cols>
    <col min="1" max="1" width="7" bestFit="1" customWidth="1"/>
    <col min="2" max="3" width="7.125" bestFit="1" customWidth="1"/>
    <col min="4" max="4" width="9.75" bestFit="1" customWidth="1"/>
    <col min="5" max="5" width="7" bestFit="1" customWidth="1"/>
    <col min="6" max="6" width="10.75" bestFit="1" customWidth="1"/>
    <col min="7" max="7" width="7" bestFit="1" customWidth="1"/>
    <col min="8" max="8" width="12.75" bestFit="1" customWidth="1"/>
    <col min="9" max="10" width="7" bestFit="1" customWidth="1"/>
    <col min="11" max="11" width="10.75" bestFit="1" customWidth="1"/>
    <col min="12" max="12" width="21.375" bestFit="1" customWidth="1"/>
    <col min="13" max="14" width="10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132</v>
      </c>
      <c r="N1" t="s">
        <v>133</v>
      </c>
    </row>
    <row r="2" spans="1:14" x14ac:dyDescent="0.2">
      <c r="A2" t="s">
        <v>135</v>
      </c>
      <c r="B2" t="s">
        <v>12</v>
      </c>
      <c r="C2" t="s">
        <v>13</v>
      </c>
      <c r="D2" s="2">
        <v>392</v>
      </c>
      <c r="E2" s="3">
        <v>6</v>
      </c>
      <c r="F2" t="s">
        <v>14</v>
      </c>
      <c r="G2" t="s">
        <v>15</v>
      </c>
      <c r="H2">
        <v>15905421422</v>
      </c>
      <c r="I2" t="s">
        <v>16</v>
      </c>
      <c r="J2" t="s">
        <v>17</v>
      </c>
      <c r="K2" t="s">
        <v>18</v>
      </c>
      <c r="L2" t="s">
        <v>19</v>
      </c>
      <c r="M2" s="4">
        <v>46204</v>
      </c>
      <c r="N2" s="4">
        <f>表1[[#This Row],[计划日期]]-5</f>
        <v>46199</v>
      </c>
    </row>
    <row r="3" spans="1:14" x14ac:dyDescent="0.2">
      <c r="A3" t="s">
        <v>20</v>
      </c>
      <c r="B3" t="s">
        <v>21</v>
      </c>
      <c r="C3" t="s">
        <v>22</v>
      </c>
      <c r="D3" s="2">
        <v>291</v>
      </c>
      <c r="E3" s="3">
        <v>3</v>
      </c>
      <c r="F3" t="s">
        <v>23</v>
      </c>
      <c r="G3" t="s">
        <v>24</v>
      </c>
      <c r="H3">
        <v>19112867562</v>
      </c>
      <c r="I3" t="s">
        <v>25</v>
      </c>
      <c r="J3" t="s">
        <v>26</v>
      </c>
      <c r="K3" t="s">
        <v>27</v>
      </c>
      <c r="L3" t="s">
        <v>28</v>
      </c>
      <c r="M3" s="4">
        <v>46205</v>
      </c>
      <c r="N3" s="4">
        <f>表1[[#This Row],[计划日期]]-5</f>
        <v>46200</v>
      </c>
    </row>
    <row r="4" spans="1:14" x14ac:dyDescent="0.2">
      <c r="A4" t="s">
        <v>29</v>
      </c>
      <c r="B4" t="s">
        <v>30</v>
      </c>
      <c r="C4" t="s">
        <v>31</v>
      </c>
      <c r="D4" s="2">
        <v>243</v>
      </c>
      <c r="E4" s="3">
        <v>1</v>
      </c>
      <c r="F4" t="s">
        <v>32</v>
      </c>
      <c r="G4" t="s">
        <v>15</v>
      </c>
      <c r="H4">
        <v>13772603885</v>
      </c>
      <c r="I4" t="s">
        <v>33</v>
      </c>
      <c r="J4" t="s">
        <v>34</v>
      </c>
      <c r="K4" t="s">
        <v>35</v>
      </c>
      <c r="L4" t="s">
        <v>36</v>
      </c>
      <c r="M4" s="4">
        <v>46206</v>
      </c>
      <c r="N4" s="4">
        <f>表1[[#This Row],[计划日期]]-5</f>
        <v>46201</v>
      </c>
    </row>
    <row r="5" spans="1:14" x14ac:dyDescent="0.2">
      <c r="A5" t="s">
        <v>37</v>
      </c>
      <c r="B5" t="s">
        <v>38</v>
      </c>
      <c r="C5" t="s">
        <v>39</v>
      </c>
      <c r="D5" s="2">
        <v>375</v>
      </c>
      <c r="E5" s="3">
        <v>7</v>
      </c>
      <c r="F5" t="s">
        <v>40</v>
      </c>
      <c r="G5" t="s">
        <v>15</v>
      </c>
      <c r="H5">
        <v>14938469383</v>
      </c>
      <c r="I5" t="s">
        <v>16</v>
      </c>
      <c r="J5" t="s">
        <v>41</v>
      </c>
      <c r="K5" t="s">
        <v>42</v>
      </c>
      <c r="L5" t="s">
        <v>43</v>
      </c>
      <c r="M5" s="4">
        <v>46207</v>
      </c>
      <c r="N5" s="4">
        <f>表1[[#This Row],[计划日期]]-5</f>
        <v>46202</v>
      </c>
    </row>
    <row r="6" spans="1:14" x14ac:dyDescent="0.2">
      <c r="A6" t="s">
        <v>44</v>
      </c>
      <c r="B6" t="s">
        <v>45</v>
      </c>
      <c r="C6" t="s">
        <v>46</v>
      </c>
      <c r="D6" s="2">
        <v>198</v>
      </c>
      <c r="E6" s="3">
        <v>6</v>
      </c>
      <c r="F6" t="s">
        <v>40</v>
      </c>
      <c r="G6" t="s">
        <v>24</v>
      </c>
      <c r="H6">
        <v>19632494915</v>
      </c>
      <c r="I6" t="s">
        <v>25</v>
      </c>
      <c r="J6" t="s">
        <v>47</v>
      </c>
      <c r="K6" t="s">
        <v>18</v>
      </c>
      <c r="L6" t="s">
        <v>48</v>
      </c>
      <c r="M6" s="4">
        <v>46208</v>
      </c>
      <c r="N6" s="4">
        <f>表1[[#This Row],[计划日期]]-5</f>
        <v>46203</v>
      </c>
    </row>
    <row r="7" spans="1:14" x14ac:dyDescent="0.2">
      <c r="A7" t="s">
        <v>49</v>
      </c>
      <c r="B7" t="s">
        <v>50</v>
      </c>
      <c r="C7" t="s">
        <v>51</v>
      </c>
      <c r="D7" s="2">
        <v>510</v>
      </c>
      <c r="E7" s="3">
        <v>7</v>
      </c>
      <c r="F7" t="s">
        <v>52</v>
      </c>
      <c r="G7" t="s">
        <v>15</v>
      </c>
      <c r="H7">
        <v>13736900083</v>
      </c>
      <c r="I7" t="s">
        <v>53</v>
      </c>
      <c r="J7" t="s">
        <v>41</v>
      </c>
      <c r="K7" t="s">
        <v>54</v>
      </c>
      <c r="L7" t="s">
        <v>55</v>
      </c>
      <c r="M7" s="4">
        <v>46209</v>
      </c>
      <c r="N7" s="4">
        <f>表1[[#This Row],[计划日期]]-5</f>
        <v>46204</v>
      </c>
    </row>
    <row r="8" spans="1:14" x14ac:dyDescent="0.2">
      <c r="A8" t="s">
        <v>56</v>
      </c>
      <c r="B8" t="s">
        <v>57</v>
      </c>
      <c r="C8" t="s">
        <v>31</v>
      </c>
      <c r="D8" s="2">
        <v>923</v>
      </c>
      <c r="E8" s="3">
        <v>4</v>
      </c>
      <c r="F8" t="s">
        <v>58</v>
      </c>
      <c r="G8" t="s">
        <v>24</v>
      </c>
      <c r="H8">
        <v>19941129447</v>
      </c>
      <c r="I8" t="s">
        <v>16</v>
      </c>
      <c r="J8" t="s">
        <v>26</v>
      </c>
      <c r="K8" t="s">
        <v>35</v>
      </c>
      <c r="L8" t="s">
        <v>59</v>
      </c>
      <c r="M8" s="4">
        <v>46210</v>
      </c>
      <c r="N8" s="4">
        <f>表1[[#This Row],[计划日期]]-5</f>
        <v>46205</v>
      </c>
    </row>
    <row r="9" spans="1:14" x14ac:dyDescent="0.2">
      <c r="A9" t="s">
        <v>60</v>
      </c>
      <c r="B9" t="s">
        <v>61</v>
      </c>
      <c r="C9" t="s">
        <v>39</v>
      </c>
      <c r="D9" s="2">
        <v>578</v>
      </c>
      <c r="E9" s="3">
        <v>1</v>
      </c>
      <c r="F9" t="s">
        <v>62</v>
      </c>
      <c r="G9" t="s">
        <v>15</v>
      </c>
      <c r="H9">
        <v>14739746962</v>
      </c>
      <c r="I9" t="s">
        <v>16</v>
      </c>
      <c r="J9" t="s">
        <v>63</v>
      </c>
      <c r="K9" t="s">
        <v>27</v>
      </c>
      <c r="L9" t="s">
        <v>64</v>
      </c>
      <c r="M9" s="4">
        <v>46211</v>
      </c>
      <c r="N9" s="4">
        <f>表1[[#This Row],[计划日期]]-5</f>
        <v>46206</v>
      </c>
    </row>
    <row r="10" spans="1:14" x14ac:dyDescent="0.2">
      <c r="A10" t="s">
        <v>65</v>
      </c>
      <c r="B10" t="s">
        <v>66</v>
      </c>
      <c r="C10" t="s">
        <v>13</v>
      </c>
      <c r="D10" s="2">
        <v>117</v>
      </c>
      <c r="E10" s="3">
        <v>10</v>
      </c>
      <c r="F10" t="s">
        <v>58</v>
      </c>
      <c r="G10" t="s">
        <v>15</v>
      </c>
      <c r="H10">
        <v>13086232320</v>
      </c>
      <c r="I10" t="s">
        <v>25</v>
      </c>
      <c r="J10" t="s">
        <v>26</v>
      </c>
      <c r="K10" t="s">
        <v>18</v>
      </c>
      <c r="L10" t="s">
        <v>67</v>
      </c>
      <c r="M10" s="4">
        <v>46212</v>
      </c>
      <c r="N10" s="4">
        <f>表1[[#This Row],[计划日期]]-5</f>
        <v>46207</v>
      </c>
    </row>
    <row r="11" spans="1:14" x14ac:dyDescent="0.2">
      <c r="A11" t="s">
        <v>68</v>
      </c>
      <c r="B11" t="s">
        <v>69</v>
      </c>
      <c r="C11" t="s">
        <v>130</v>
      </c>
      <c r="D11" s="2">
        <v>426</v>
      </c>
      <c r="E11" s="3">
        <v>3</v>
      </c>
      <c r="F11" t="s">
        <v>70</v>
      </c>
      <c r="G11" t="s">
        <v>24</v>
      </c>
      <c r="H11">
        <v>16647590808</v>
      </c>
      <c r="I11" t="s">
        <v>71</v>
      </c>
      <c r="J11" t="s">
        <v>47</v>
      </c>
      <c r="K11" t="s">
        <v>42</v>
      </c>
      <c r="L11" t="s">
        <v>72</v>
      </c>
      <c r="M11" s="4">
        <v>46213</v>
      </c>
      <c r="N11" s="4">
        <f>表1[[#This Row],[计划日期]]-5</f>
        <v>46208</v>
      </c>
    </row>
    <row r="12" spans="1:14" x14ac:dyDescent="0.2">
      <c r="A12" t="s">
        <v>73</v>
      </c>
      <c r="B12" t="s">
        <v>74</v>
      </c>
      <c r="C12" t="s">
        <v>31</v>
      </c>
      <c r="D12" s="2">
        <v>404</v>
      </c>
      <c r="E12" s="3">
        <v>1</v>
      </c>
      <c r="F12" t="s">
        <v>52</v>
      </c>
      <c r="G12" t="s">
        <v>15</v>
      </c>
      <c r="H12">
        <v>16159146746</v>
      </c>
      <c r="I12" t="s">
        <v>16</v>
      </c>
      <c r="J12" t="s">
        <v>63</v>
      </c>
      <c r="K12" t="s">
        <v>35</v>
      </c>
      <c r="L12" t="s">
        <v>75</v>
      </c>
      <c r="M12" s="4">
        <v>46214</v>
      </c>
      <c r="N12" s="4">
        <f>表1[[#This Row],[计划日期]]-5</f>
        <v>46209</v>
      </c>
    </row>
    <row r="13" spans="1:14" x14ac:dyDescent="0.2">
      <c r="A13" t="s">
        <v>76</v>
      </c>
      <c r="B13" t="s">
        <v>77</v>
      </c>
      <c r="C13" t="s">
        <v>78</v>
      </c>
      <c r="D13" s="2">
        <v>691</v>
      </c>
      <c r="E13" s="3">
        <v>3</v>
      </c>
      <c r="F13" t="s">
        <v>52</v>
      </c>
      <c r="G13" t="s">
        <v>15</v>
      </c>
      <c r="H13">
        <v>19877687946</v>
      </c>
      <c r="I13" t="s">
        <v>16</v>
      </c>
      <c r="J13" t="s">
        <v>41</v>
      </c>
      <c r="K13" t="s">
        <v>54</v>
      </c>
      <c r="L13" t="s">
        <v>79</v>
      </c>
      <c r="M13" s="4">
        <v>46215</v>
      </c>
      <c r="N13" s="4">
        <f>表1[[#This Row],[计划日期]]-5</f>
        <v>46210</v>
      </c>
    </row>
    <row r="14" spans="1:14" x14ac:dyDescent="0.2">
      <c r="A14" t="s">
        <v>80</v>
      </c>
      <c r="B14" t="s">
        <v>81</v>
      </c>
      <c r="C14" t="s">
        <v>22</v>
      </c>
      <c r="D14" s="2">
        <v>353</v>
      </c>
      <c r="E14" s="3">
        <v>2</v>
      </c>
      <c r="F14" t="s">
        <v>82</v>
      </c>
      <c r="G14" t="s">
        <v>24</v>
      </c>
      <c r="H14">
        <v>14510699928</v>
      </c>
      <c r="I14" t="s">
        <v>25</v>
      </c>
      <c r="J14" t="s">
        <v>17</v>
      </c>
      <c r="K14" t="s">
        <v>18</v>
      </c>
      <c r="L14" t="s">
        <v>83</v>
      </c>
      <c r="M14" s="4">
        <v>46216</v>
      </c>
      <c r="N14" s="4">
        <f>表1[[#This Row],[计划日期]]-5</f>
        <v>46211</v>
      </c>
    </row>
    <row r="15" spans="1:14" x14ac:dyDescent="0.2">
      <c r="A15" t="s">
        <v>84</v>
      </c>
      <c r="B15" t="s">
        <v>85</v>
      </c>
      <c r="C15" t="s">
        <v>86</v>
      </c>
      <c r="D15" s="2">
        <v>238</v>
      </c>
      <c r="E15" s="3">
        <v>7</v>
      </c>
      <c r="F15" t="s">
        <v>87</v>
      </c>
      <c r="G15" t="s">
        <v>24</v>
      </c>
      <c r="H15">
        <v>16544762335</v>
      </c>
      <c r="I15" t="s">
        <v>16</v>
      </c>
      <c r="J15" t="s">
        <v>26</v>
      </c>
      <c r="K15" t="s">
        <v>27</v>
      </c>
      <c r="L15" t="s">
        <v>28</v>
      </c>
      <c r="M15" s="4">
        <v>46217</v>
      </c>
      <c r="N15" s="4">
        <f>表1[[#This Row],[计划日期]]-5</f>
        <v>46212</v>
      </c>
    </row>
    <row r="16" spans="1:14" x14ac:dyDescent="0.2">
      <c r="A16" t="s">
        <v>88</v>
      </c>
      <c r="B16" t="s">
        <v>89</v>
      </c>
      <c r="C16" t="s">
        <v>13</v>
      </c>
      <c r="D16" s="2">
        <v>392</v>
      </c>
      <c r="E16" s="3">
        <v>7</v>
      </c>
      <c r="F16" t="s">
        <v>58</v>
      </c>
      <c r="G16" t="s">
        <v>15</v>
      </c>
      <c r="H16">
        <v>18670406647</v>
      </c>
      <c r="I16" t="s">
        <v>25</v>
      </c>
      <c r="J16" t="s">
        <v>90</v>
      </c>
      <c r="K16" t="s">
        <v>35</v>
      </c>
      <c r="L16" t="s">
        <v>36</v>
      </c>
      <c r="M16" s="4">
        <v>46218</v>
      </c>
      <c r="N16" s="4">
        <f>表1[[#This Row],[计划日期]]-5</f>
        <v>46213</v>
      </c>
    </row>
    <row r="17" spans="1:14" x14ac:dyDescent="0.2">
      <c r="A17" t="s">
        <v>91</v>
      </c>
      <c r="B17" t="s">
        <v>92</v>
      </c>
      <c r="C17" t="s">
        <v>22</v>
      </c>
      <c r="D17" s="2">
        <v>291</v>
      </c>
      <c r="E17" s="3">
        <v>7</v>
      </c>
      <c r="F17" t="s">
        <v>93</v>
      </c>
      <c r="G17" t="s">
        <v>24</v>
      </c>
      <c r="H17">
        <v>14560107314</v>
      </c>
      <c r="I17" t="s">
        <v>71</v>
      </c>
      <c r="J17" t="s">
        <v>41</v>
      </c>
      <c r="K17" t="s">
        <v>42</v>
      </c>
      <c r="L17" t="s">
        <v>43</v>
      </c>
      <c r="M17" s="4">
        <v>46235</v>
      </c>
      <c r="N17" s="4">
        <f>表1[[#This Row],[计划日期]]-5</f>
        <v>46230</v>
      </c>
    </row>
    <row r="18" spans="1:14" x14ac:dyDescent="0.2">
      <c r="A18" t="s">
        <v>94</v>
      </c>
      <c r="B18" t="s">
        <v>95</v>
      </c>
      <c r="C18" t="s">
        <v>31</v>
      </c>
      <c r="D18" s="2">
        <v>243</v>
      </c>
      <c r="E18" s="3">
        <v>6</v>
      </c>
      <c r="F18" t="s">
        <v>96</v>
      </c>
      <c r="G18" t="s">
        <v>15</v>
      </c>
      <c r="H18">
        <v>14345398600</v>
      </c>
      <c r="I18" t="s">
        <v>16</v>
      </c>
      <c r="J18" t="s">
        <v>26</v>
      </c>
      <c r="K18" t="s">
        <v>18</v>
      </c>
      <c r="L18" t="s">
        <v>67</v>
      </c>
      <c r="M18" s="4">
        <v>46236</v>
      </c>
      <c r="N18" s="4">
        <f>表1[[#This Row],[计划日期]]-5</f>
        <v>46231</v>
      </c>
    </row>
    <row r="19" spans="1:14" x14ac:dyDescent="0.2">
      <c r="A19" t="s">
        <v>97</v>
      </c>
      <c r="B19" t="s">
        <v>98</v>
      </c>
      <c r="C19" t="s">
        <v>39</v>
      </c>
      <c r="D19" s="2">
        <v>375</v>
      </c>
      <c r="E19" s="3">
        <v>5</v>
      </c>
      <c r="F19" t="s">
        <v>99</v>
      </c>
      <c r="G19" t="s">
        <v>15</v>
      </c>
      <c r="H19">
        <v>16751045268</v>
      </c>
      <c r="I19" t="s">
        <v>16</v>
      </c>
      <c r="J19" t="s">
        <v>34</v>
      </c>
      <c r="K19" t="s">
        <v>54</v>
      </c>
      <c r="L19" t="s">
        <v>100</v>
      </c>
      <c r="M19" s="4">
        <v>46237</v>
      </c>
      <c r="N19" s="4">
        <f>表1[[#This Row],[计划日期]]-5</f>
        <v>46232</v>
      </c>
    </row>
    <row r="20" spans="1:14" x14ac:dyDescent="0.2">
      <c r="A20" t="s">
        <v>101</v>
      </c>
      <c r="B20" t="s">
        <v>102</v>
      </c>
      <c r="C20" t="s">
        <v>131</v>
      </c>
      <c r="D20" s="2">
        <v>198</v>
      </c>
      <c r="E20" s="3">
        <v>9</v>
      </c>
      <c r="F20" t="s">
        <v>62</v>
      </c>
      <c r="G20" t="s">
        <v>24</v>
      </c>
      <c r="H20">
        <v>16201074356</v>
      </c>
      <c r="I20" t="s">
        <v>25</v>
      </c>
      <c r="J20" t="s">
        <v>63</v>
      </c>
      <c r="K20" t="s">
        <v>54</v>
      </c>
      <c r="L20" t="s">
        <v>103</v>
      </c>
      <c r="M20" s="4">
        <v>46238</v>
      </c>
      <c r="N20" s="4">
        <f>表1[[#This Row],[计划日期]]-5</f>
        <v>46233</v>
      </c>
    </row>
    <row r="21" spans="1:14" x14ac:dyDescent="0.2">
      <c r="A21" t="s">
        <v>104</v>
      </c>
      <c r="B21" t="s">
        <v>105</v>
      </c>
      <c r="C21" t="s">
        <v>51</v>
      </c>
      <c r="D21" s="2">
        <v>510</v>
      </c>
      <c r="E21" s="3">
        <v>9</v>
      </c>
      <c r="F21" t="s">
        <v>106</v>
      </c>
      <c r="G21" t="s">
        <v>15</v>
      </c>
      <c r="H21">
        <v>17105267447</v>
      </c>
      <c r="I21" t="s">
        <v>16</v>
      </c>
      <c r="J21" t="s">
        <v>26</v>
      </c>
      <c r="K21" t="s">
        <v>42</v>
      </c>
      <c r="L21" t="s">
        <v>107</v>
      </c>
      <c r="M21" s="4">
        <v>46239</v>
      </c>
      <c r="N21" s="4">
        <f>表1[[#This Row],[计划日期]]-5</f>
        <v>46234</v>
      </c>
    </row>
    <row r="22" spans="1:14" x14ac:dyDescent="0.2">
      <c r="A22" t="s">
        <v>108</v>
      </c>
      <c r="B22" t="s">
        <v>109</v>
      </c>
      <c r="C22" t="s">
        <v>31</v>
      </c>
      <c r="D22" s="2">
        <v>923</v>
      </c>
      <c r="E22" s="3">
        <v>1</v>
      </c>
      <c r="F22" t="s">
        <v>52</v>
      </c>
      <c r="G22" t="s">
        <v>24</v>
      </c>
      <c r="H22">
        <v>16313720935</v>
      </c>
      <c r="I22" t="s">
        <v>25</v>
      </c>
      <c r="J22" t="s">
        <v>26</v>
      </c>
      <c r="K22" t="s">
        <v>27</v>
      </c>
      <c r="L22" t="s">
        <v>75</v>
      </c>
      <c r="M22" s="4">
        <v>46240</v>
      </c>
      <c r="N22" s="4">
        <f>表1[[#This Row],[计划日期]]-5</f>
        <v>46235</v>
      </c>
    </row>
    <row r="23" spans="1:14" x14ac:dyDescent="0.2">
      <c r="A23" t="s">
        <v>110</v>
      </c>
      <c r="B23" t="s">
        <v>111</v>
      </c>
      <c r="C23" t="s">
        <v>39</v>
      </c>
      <c r="D23" s="2">
        <v>578</v>
      </c>
      <c r="E23" s="3">
        <v>9</v>
      </c>
      <c r="F23" t="s">
        <v>112</v>
      </c>
      <c r="G23" t="s">
        <v>15</v>
      </c>
      <c r="H23">
        <v>17541880417</v>
      </c>
      <c r="I23" t="s">
        <v>71</v>
      </c>
      <c r="J23" t="s">
        <v>90</v>
      </c>
      <c r="K23" t="s">
        <v>35</v>
      </c>
      <c r="L23" t="s">
        <v>79</v>
      </c>
      <c r="M23" s="4">
        <v>46241</v>
      </c>
      <c r="N23" s="4">
        <f>表1[[#This Row],[计划日期]]-5</f>
        <v>46236</v>
      </c>
    </row>
    <row r="24" spans="1:14" x14ac:dyDescent="0.2">
      <c r="A24" t="s">
        <v>113</v>
      </c>
      <c r="B24" t="s">
        <v>114</v>
      </c>
      <c r="C24" t="s">
        <v>13</v>
      </c>
      <c r="D24" s="2">
        <v>117</v>
      </c>
      <c r="E24" s="3">
        <v>3</v>
      </c>
      <c r="F24" t="s">
        <v>115</v>
      </c>
      <c r="G24" t="s">
        <v>15</v>
      </c>
      <c r="H24">
        <v>17974753441</v>
      </c>
      <c r="I24" t="s">
        <v>16</v>
      </c>
      <c r="J24" t="s">
        <v>41</v>
      </c>
      <c r="K24" t="s">
        <v>42</v>
      </c>
      <c r="L24" t="s">
        <v>83</v>
      </c>
      <c r="M24" s="4">
        <v>46242</v>
      </c>
      <c r="N24" s="4">
        <f>表1[[#This Row],[计划日期]]-5</f>
        <v>46237</v>
      </c>
    </row>
    <row r="25" spans="1:14" x14ac:dyDescent="0.2">
      <c r="A25" t="s">
        <v>116</v>
      </c>
      <c r="B25" t="s">
        <v>117</v>
      </c>
      <c r="C25" t="s">
        <v>39</v>
      </c>
      <c r="D25" s="2">
        <v>426</v>
      </c>
      <c r="E25" s="3">
        <v>7</v>
      </c>
      <c r="F25" t="s">
        <v>118</v>
      </c>
      <c r="G25" t="s">
        <v>24</v>
      </c>
      <c r="H25">
        <v>14556499855</v>
      </c>
      <c r="I25" t="s">
        <v>16</v>
      </c>
      <c r="J25" t="s">
        <v>26</v>
      </c>
      <c r="K25" t="s">
        <v>18</v>
      </c>
      <c r="L25" t="s">
        <v>28</v>
      </c>
      <c r="M25" s="4">
        <v>46243</v>
      </c>
      <c r="N25" s="4">
        <f>表1[[#This Row],[计划日期]]-5</f>
        <v>46238</v>
      </c>
    </row>
    <row r="26" spans="1:14" x14ac:dyDescent="0.2">
      <c r="A26" t="s">
        <v>119</v>
      </c>
      <c r="B26" t="s">
        <v>120</v>
      </c>
      <c r="C26" t="s">
        <v>31</v>
      </c>
      <c r="D26" s="2">
        <v>404</v>
      </c>
      <c r="E26" s="3">
        <v>9</v>
      </c>
      <c r="F26" t="s">
        <v>70</v>
      </c>
      <c r="G26" t="s">
        <v>15</v>
      </c>
      <c r="H26">
        <v>14551485093</v>
      </c>
      <c r="I26" t="s">
        <v>25</v>
      </c>
      <c r="J26" t="s">
        <v>34</v>
      </c>
      <c r="K26" t="s">
        <v>54</v>
      </c>
      <c r="L26" t="s">
        <v>36</v>
      </c>
      <c r="M26" s="4">
        <v>46244</v>
      </c>
      <c r="N26" s="4">
        <f>表1[[#This Row],[计划日期]]-5</f>
        <v>46239</v>
      </c>
    </row>
    <row r="27" spans="1:14" x14ac:dyDescent="0.2">
      <c r="A27" t="s">
        <v>121</v>
      </c>
      <c r="B27" t="s">
        <v>122</v>
      </c>
      <c r="C27" t="s">
        <v>129</v>
      </c>
      <c r="D27" s="2">
        <v>691</v>
      </c>
      <c r="E27" s="3">
        <v>9</v>
      </c>
      <c r="F27" t="s">
        <v>123</v>
      </c>
      <c r="G27" t="s">
        <v>15</v>
      </c>
      <c r="H27">
        <v>18722348199</v>
      </c>
      <c r="I27" t="s">
        <v>16</v>
      </c>
      <c r="J27" t="s">
        <v>63</v>
      </c>
      <c r="K27" t="s">
        <v>54</v>
      </c>
      <c r="L27" t="s">
        <v>43</v>
      </c>
      <c r="M27" s="4">
        <v>46245</v>
      </c>
      <c r="N27" s="4">
        <f>表1[[#This Row],[计划日期]]-5</f>
        <v>46240</v>
      </c>
    </row>
    <row r="28" spans="1:14" x14ac:dyDescent="0.2">
      <c r="A28" t="s">
        <v>124</v>
      </c>
      <c r="B28" t="s">
        <v>125</v>
      </c>
      <c r="C28" t="s">
        <v>22</v>
      </c>
      <c r="D28" s="2">
        <v>353</v>
      </c>
      <c r="E28" s="3">
        <v>7</v>
      </c>
      <c r="F28" t="s">
        <v>23</v>
      </c>
      <c r="G28" t="s">
        <v>24</v>
      </c>
      <c r="H28">
        <v>16571935620</v>
      </c>
      <c r="I28" t="s">
        <v>25</v>
      </c>
      <c r="J28" t="s">
        <v>26</v>
      </c>
      <c r="K28" t="s">
        <v>42</v>
      </c>
      <c r="L28" t="s">
        <v>67</v>
      </c>
      <c r="M28" s="4">
        <v>46246</v>
      </c>
      <c r="N28" s="4">
        <f>表1[[#This Row],[计划日期]]-5</f>
        <v>46241</v>
      </c>
    </row>
    <row r="29" spans="1:14" x14ac:dyDescent="0.2">
      <c r="A29" t="s">
        <v>126</v>
      </c>
      <c r="B29" t="s">
        <v>127</v>
      </c>
      <c r="C29" t="s">
        <v>86</v>
      </c>
      <c r="D29" s="2">
        <v>238</v>
      </c>
      <c r="E29" s="3">
        <v>3</v>
      </c>
      <c r="F29" t="s">
        <v>106</v>
      </c>
      <c r="G29" t="s">
        <v>24</v>
      </c>
      <c r="H29">
        <v>19833885243</v>
      </c>
      <c r="I29" t="s">
        <v>71</v>
      </c>
      <c r="J29" t="s">
        <v>26</v>
      </c>
      <c r="K29" t="s">
        <v>42</v>
      </c>
      <c r="L29" t="s">
        <v>100</v>
      </c>
      <c r="M29" s="4">
        <v>46247</v>
      </c>
      <c r="N29" s="4">
        <f>表1[[#This Row],[计划日期]]-5</f>
        <v>46242</v>
      </c>
    </row>
    <row r="30" spans="1:14" x14ac:dyDescent="0.2">
      <c r="A30" t="s">
        <v>136</v>
      </c>
      <c r="B30" t="s">
        <v>128</v>
      </c>
      <c r="C30" t="s">
        <v>86</v>
      </c>
      <c r="D30" s="2">
        <v>238</v>
      </c>
      <c r="E30" s="3">
        <v>1</v>
      </c>
      <c r="F30" t="s">
        <v>118</v>
      </c>
      <c r="G30" t="s">
        <v>24</v>
      </c>
      <c r="H30">
        <v>13568569707</v>
      </c>
      <c r="I30" t="s">
        <v>16</v>
      </c>
      <c r="J30" t="s">
        <v>26</v>
      </c>
      <c r="K30" t="s">
        <v>42</v>
      </c>
      <c r="L30" t="s">
        <v>103</v>
      </c>
      <c r="M30" s="4">
        <v>46248</v>
      </c>
      <c r="N30" s="4">
        <f>表1[[#This Row],[计划日期]]-5</f>
        <v>46243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L</dc:creator>
  <cp:lastModifiedBy>Q L</cp:lastModifiedBy>
  <dcterms:created xsi:type="dcterms:W3CDTF">2026-08-10T03:57:57Z</dcterms:created>
  <dcterms:modified xsi:type="dcterms:W3CDTF">2026-09-01T06:25:42Z</dcterms:modified>
</cp:coreProperties>
</file>